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 Register" state="visible" r:id="rId4"/>
    <sheet sheetId="2" name="Wing Summary" state="visible" r:id="rId5"/>
  </sheets>
  <calcPr calcId="171027"/>
</workbook>
</file>

<file path=xl/sharedStrings.xml><?xml version="1.0" encoding="utf-8"?>
<sst xmlns="http://schemas.openxmlformats.org/spreadsheetml/2006/main" count="94" uniqueCount="72">
  <si>
    <t>Shanti Villa CHS Ltd.</t>
  </si>
  <si>
    <t>Plot 14, Saraswati Lane, Karve Nagar · Pune, Maharashtra 411052</t>
  </si>
  <si>
    <t>Society Reg. No. MH/PUNE/HSG/0721/2013   ·   UPI: shantivillachs@upi</t>
  </si>
  <si>
    <t>Period: All months</t>
  </si>
  <si>
    <t>MAINTENANCE COLLECTION REGISTER  ·  generated 01 Nov 2026, 10:07 am  ·  4 records</t>
  </si>
  <si>
    <t>No</t>
  </si>
  <si>
    <t>Receipt</t>
  </si>
  <si>
    <t>Paid on</t>
  </si>
  <si>
    <t>Wing</t>
  </si>
  <si>
    <t>Flat</t>
  </si>
  <si>
    <t>Member</t>
  </si>
  <si>
    <t>Month</t>
  </si>
  <si>
    <t>Amount</t>
  </si>
  <si>
    <t>Maintenance</t>
  </si>
  <si>
    <t>Contribution</t>
  </si>
  <si>
    <t>Mode</t>
  </si>
  <si>
    <t>UPI ref / UTR</t>
  </si>
  <si>
    <t>Status</t>
  </si>
  <si>
    <t>Remarks</t>
  </si>
  <si>
    <t>Verified on</t>
  </si>
  <si>
    <t>Screenshot proof</t>
  </si>
  <si>
    <t>SK-202610-M2Z8</t>
  </si>
  <si>
    <t>B</t>
  </si>
  <si>
    <t>202</t>
  </si>
  <si>
    <t>Meera Nair</t>
  </si>
  <si>
    <t>October 2026</t>
  </si>
  <si>
    <t>UPI · QR</t>
  </si>
  <si>
    <t>311988227744</t>
  </si>
  <si>
    <t>Pending</t>
  </si>
  <si>
    <t>Including the Fiji community fund</t>
  </si>
  <si>
    <t>—</t>
  </si>
  <si>
    <t/>
  </si>
  <si>
    <t>SK-202610-K7Q2</t>
  </si>
  <si>
    <t>A</t>
  </si>
  <si>
    <t>102</t>
  </si>
  <si>
    <t>Rohan Iyer</t>
  </si>
  <si>
    <t>407126358890</t>
  </si>
  <si>
    <t>Verified</t>
  </si>
  <si>
    <t>SK-202609-X4L1</t>
  </si>
  <si>
    <t>101</t>
  </si>
  <si>
    <t>Anita Deshpande</t>
  </si>
  <si>
    <t>September 2026</t>
  </si>
  <si>
    <t>520011774466</t>
  </si>
  <si>
    <t>SK-202609-P9R5</t>
  </si>
  <si>
    <t>C</t>
  </si>
  <si>
    <t>Joseph Baptista</t>
  </si>
  <si>
    <t>600122004411</t>
  </si>
  <si>
    <t>Rejected</t>
  </si>
  <si>
    <t>TOTAL  —  4 payments, 4 flats</t>
  </si>
  <si>
    <t>Shanti Villa CHS Ltd. — wing-wise summary</t>
  </si>
  <si>
    <t>All recorded months · generated 01 Nov 2026, 10:07 am</t>
  </si>
  <si>
    <t>Flats</t>
  </si>
  <si>
    <t>Payments</t>
  </si>
  <si>
    <t>Collected</t>
  </si>
  <si>
    <t>Outstanding dues</t>
  </si>
  <si>
    <t>TOTAL</t>
  </si>
  <si>
    <t>About this archive</t>
  </si>
  <si>
    <t>Registered name</t>
  </si>
  <si>
    <t>Registration no.</t>
  </si>
  <si>
    <t>MH/PUNE/HSG/0721/2013</t>
  </si>
  <si>
    <t>Address</t>
  </si>
  <si>
    <t>Plot 14, Saraswati Lane, Karve Nagar, Pune, Maharashtra 411052</t>
  </si>
  <si>
    <t>UPI ID</t>
  </si>
  <si>
    <t>shantivillachs@upi</t>
  </si>
  <si>
    <t>Records in file</t>
  </si>
  <si>
    <t>4 payments</t>
  </si>
  <si>
    <t>Firestore usage</t>
  </si>
  <si>
    <t>4 docs · ~41 KB</t>
  </si>
  <si>
    <t>Generated at</t>
  </si>
  <si>
    <t>01 Nov 2026, 10:07 am</t>
  </si>
  <si>
    <t>Scope</t>
  </si>
  <si>
    <t>All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</si>
</sst>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-mmm-yy"/>
    <numFmt numFmtId="165" formatCode="&quot;₹&quot;#,##,##0.00"/>
    <numFmt numFmtId="166" formatCode="dd-mmm-yy hh:mm"/>
  </numFmts>
  <fonts count="19" x14ac:knownFonts="1">
    <font>
      <color theme="1"/>
      <family val="2"/>
      <scheme val="minor"/>
      <sz val="11"/>
      <name val="Calibri"/>
    </font>
    <font>
      <b/>
      <color rgb="FF1D4D3B"/>
      <sz val="20"/>
      <name val="Georgia"/>
    </font>
    <font>
      <color rgb="FF1B2A23"/>
      <sz val="10.5"/>
      <name val="Calibri"/>
    </font>
    <font>
      <color rgb="FF71806F"/>
      <sz val="10.5"/>
      <name val="Calibri"/>
    </font>
    <font>
      <b/>
      <color rgb="FFB08D3E"/>
      <sz val="10.5"/>
      <name val="Calibri"/>
    </font>
    <font>
      <i/>
      <color rgb="FF71806F"/>
      <sz val="9.5"/>
      <name val="Calibri"/>
    </font>
    <font>
      <b/>
      <color rgb="FFFFFFFF"/>
      <sz val="11"/>
      <name val="Calibri"/>
    </font>
    <font>
      <b/>
      <color rgb="FF0F3024"/>
      <sz val="10.5"/>
      <name val="Calibri"/>
    </font>
    <font>
      <color rgb="FF1B2A23"/>
      <sz val="10"/>
      <name val="Calibri"/>
    </font>
    <font>
      <b/>
      <color rgb="FF1B2A23"/>
      <sz val="10.5"/>
      <name val="Calibri"/>
    </font>
    <font>
      <b/>
      <color rgb="FF9A7B23"/>
      <sz val="10.5"/>
      <name val="Calibri"/>
    </font>
    <font>
      <b/>
      <color rgb="FF2F7D4F"/>
      <sz val="10.5"/>
      <name val="Calibri"/>
    </font>
    <font>
      <b/>
      <color rgb="FFA93B32"/>
      <sz val="10.5"/>
      <name val="Calibri"/>
    </font>
    <font>
      <b/>
      <color rgb="FF0F3024"/>
      <sz val="11.5"/>
      <name val="Georgia"/>
    </font>
    <font>
      <b/>
      <color rgb="FF0F3024"/>
      <sz val="11"/>
      <name val="Calibri"/>
    </font>
    <font>
      <b/>
      <color rgb="FF1D4D3B"/>
      <sz val="15"/>
      <name val="Georgia"/>
    </font>
    <font>
      <i/>
      <color rgb="FF71806F"/>
      <sz val="10"/>
      <name val="Calibri"/>
    </font>
    <font>
      <sz val="10.5"/>
      <name val="Calibri"/>
    </font>
    <font>
      <b/>
      <color rgb="FF1D4D3B"/>
      <sz val="12"/>
      <name val="Georgia"/>
    </font>
  </fonts>
  <fills count="8">
    <fill>
      <patternFill patternType="none"/>
    </fill>
    <fill>
      <patternFill patternType="gray125"/>
    </fill>
    <fill>
      <patternFill patternType="solid">
        <fgColor rgb="FF1D4D3B"/>
      </patternFill>
    </fill>
    <fill>
      <patternFill patternType="solid">
        <fgColor rgb="FFF8F0DC"/>
      </patternFill>
    </fill>
    <fill>
      <patternFill patternType="solid">
        <fgColor rgb="FFFAF7F0"/>
      </patternFill>
    </fill>
    <fill>
      <patternFill patternType="solid">
        <fgColor rgb="FFE4F0E5"/>
      </patternFill>
    </fill>
    <fill>
      <patternFill patternType="solid">
        <fgColor rgb="FFF6E3E0"/>
      </patternFill>
    </fill>
    <fill>
      <patternFill patternType="solid">
        <fgColor rgb="FFF1EDE2"/>
      </patternFill>
    </fill>
  </fills>
  <borders count="4">
    <border>
      <left/>
      <right/>
      <top/>
      <bottom/>
      <diagonal/>
    </border>
    <border>
      <left style="thin">
        <color rgb="FF2A5C48"/>
      </left>
      <right style="thin">
        <color rgb="FF2A5C48"/>
      </right>
      <top style="thin">
        <color rgb="FF2A5C48"/>
      </top>
      <bottom style="thin">
        <color rgb="FF2A5C48"/>
      </bottom>
      <diagonal/>
    </border>
    <border>
      <left style="thin">
        <color rgb="FFE4DDCB"/>
      </left>
      <right style="thin">
        <color rgb="FFE4DDCB"/>
      </right>
      <top style="thin">
        <color rgb="FFE4DDCB"/>
      </top>
      <bottom style="thin">
        <color rgb="FFE4DDCB"/>
      </bottom>
      <diagonal/>
    </border>
    <border>
      <left style="thin">
        <color rgb="FFE4DDCB"/>
      </left>
      <right style="thin">
        <color rgb="FFE4DDCB"/>
      </right>
      <top style="double">
        <color rgb="FF1D4D3B"/>
      </top>
      <bottom style="double">
        <color rgb="FF1D4D3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5" fontId="9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165" fontId="9" fillId="4" borderId="2" xfId="0" applyNumberFormat="1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166" fontId="8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66" fontId="8" fillId="0" borderId="2" xfId="0" applyNumberFormat="1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right" vertical="center" wrapText="1"/>
    </xf>
    <xf numFmtId="165" fontId="14" fillId="7" borderId="3" xfId="0" applyNumberFormat="1" applyFont="1" applyFill="1" applyBorder="1" applyAlignment="1">
      <alignment horizontal="right" vertical="center"/>
    </xf>
    <xf numFmtId="0" fontId="0" fillId="7" borderId="3" xfId="0" applyFill="1" applyBorder="1"/>
    <xf numFmtId="0" fontId="15" fillId="0" borderId="0" xfId="0" applyFont="1" applyAlignment="1">
      <alignment vertical="center"/>
    </xf>
    <xf numFmtId="0" fontId="16" fillId="0" borderId="0" xfId="0" applyFont="1"/>
    <xf numFmtId="0" fontId="6" fillId="2" borderId="1" xfId="0" applyFont="1" applyFill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right" vertical="center"/>
    </xf>
    <xf numFmtId="0" fontId="17" fillId="4" borderId="2" xfId="0" applyFont="1" applyFill="1" applyBorder="1" applyAlignment="1">
      <alignment horizontal="center" vertical="center"/>
    </xf>
    <xf numFmtId="165" fontId="17" fillId="4" borderId="2" xfId="0" applyNumberFormat="1" applyFont="1" applyFill="1" applyBorder="1" applyAlignment="1">
      <alignment horizontal="right" vertical="center"/>
    </xf>
    <xf numFmtId="0" fontId="14" fillId="7" borderId="3" xfId="0" applyFont="1" applyFill="1" applyBorder="1"/>
    <xf numFmtId="0" fontId="14" fillId="7" borderId="3" xfId="0" applyFont="1" applyFill="1" applyBorder="1" applyAlignment="1">
      <alignment horizontal="center" vertic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2" customWidth="1"/>
    <col min="4" max="4" width="7" customWidth="1"/>
    <col min="5" max="5" width="8" customWidth="1"/>
    <col min="6" max="6" width="26" customWidth="1"/>
    <col min="7" max="7" width="14" customWidth="1"/>
    <col min="8" max="10" width="13" customWidth="1"/>
    <col min="12" max="12" width="20" customWidth="1"/>
    <col min="13" max="13" width="12" customWidth="1"/>
    <col min="14" max="14" width="24" customWidth="1"/>
    <col min="15" max="15" width="16" customWidth="1"/>
    <col min="16" max="16" width="18" customWidth="1"/>
  </cols>
  <sheetData>
    <row r="1" ht="18" customHeight="1" spans="6:15" x14ac:dyDescent="0.25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</row>
    <row r="2" ht="18" customHeight="1" spans="6:15" x14ac:dyDescent="0.25">
      <c r="F2" s="2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8" customHeight="1" spans="6:15" x14ac:dyDescent="0.25">
      <c r="F3" s="3" t="s">
        <v>2</v>
      </c>
      <c r="G3" s="3"/>
      <c r="H3" s="3"/>
      <c r="I3" s="3"/>
      <c r="J3" s="3"/>
      <c r="K3" s="3"/>
      <c r="L3" s="3"/>
      <c r="M3" s="3"/>
      <c r="N3" s="3"/>
      <c r="O3" s="3"/>
    </row>
    <row r="4" ht="18" customHeight="1" spans="6:15" x14ac:dyDescent="0.25">
      <c r="G4"/>
      <c r="H4"/>
      <c r="I4"/>
      <c r="J4"/>
      <c r="K4" s="4" t="s">
        <v>3</v>
      </c>
      <c r="L4" s="4"/>
      <c r="M4" s="4"/>
      <c r="N4" s="4"/>
      <c r="O4" s="4"/>
    </row>
    <row r="5" ht="18" customHeight="1" spans="6:15" x14ac:dyDescent="0.25">
      <c r="F5" s="5" t="s">
        <v>4</v>
      </c>
      <c r="G5" s="5"/>
      <c r="H5" s="5"/>
      <c r="I5" s="5"/>
      <c r="J5" s="5"/>
      <c r="K5" s="5"/>
      <c r="L5" s="5"/>
      <c r="M5" s="5"/>
      <c r="N5" s="5"/>
      <c r="O5" s="5"/>
    </row>
    <row r="6" ht="6" customHeight="1" x14ac:dyDescent="0.25"/>
    <row r="7" ht="6" customHeight="1" x14ac:dyDescent="0.25"/>
    <row r="8" ht="22" customHeight="1" spans="1:16" x14ac:dyDescent="0.25">
      <c r="A8" s="6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7" t="s">
        <v>16</v>
      </c>
      <c r="M8" s="7" t="s">
        <v>17</v>
      </c>
      <c r="N8" s="7" t="s">
        <v>18</v>
      </c>
      <c r="O8" s="7" t="s">
        <v>19</v>
      </c>
      <c r="P8" s="7" t="s">
        <v>20</v>
      </c>
    </row>
    <row r="9" ht="17" customHeight="1" spans="1:16" x14ac:dyDescent="0.25">
      <c r="A9" s="8">
        <v>1</v>
      </c>
      <c r="B9" s="9" t="s">
        <v>21</v>
      </c>
      <c r="C9" s="10">
        <v>46326.19253354167</v>
      </c>
      <c r="D9" s="11" t="s">
        <v>22</v>
      </c>
      <c r="E9" s="11" t="s">
        <v>23</v>
      </c>
      <c r="F9" s="12" t="s">
        <v>24</v>
      </c>
      <c r="G9" s="11" t="s">
        <v>25</v>
      </c>
      <c r="H9" s="13">
        <v>5200</v>
      </c>
      <c r="I9" s="14">
        <v>3200</v>
      </c>
      <c r="J9" s="14">
        <v>2000</v>
      </c>
      <c r="K9" s="11" t="s">
        <v>26</v>
      </c>
      <c r="L9" s="11" t="s">
        <v>27</v>
      </c>
      <c r="M9" s="15" t="s">
        <v>28</v>
      </c>
      <c r="N9" s="16" t="s">
        <v>29</v>
      </c>
      <c r="O9" s="11" t="s">
        <v>30</v>
      </c>
      <c r="P9" s="17" t="s">
        <v>31</v>
      </c>
    </row>
    <row r="10" ht="18" customHeight="1" spans="1:16" x14ac:dyDescent="0.25">
      <c r="A10" s="18">
        <v>2</v>
      </c>
      <c r="B10" s="19" t="s">
        <v>32</v>
      </c>
      <c r="C10" s="20">
        <v>46324.19253353009</v>
      </c>
      <c r="D10" s="21" t="s">
        <v>33</v>
      </c>
      <c r="E10" s="21" t="s">
        <v>34</v>
      </c>
      <c r="F10" s="22" t="s">
        <v>35</v>
      </c>
      <c r="G10" s="21" t="s">
        <v>25</v>
      </c>
      <c r="H10" s="23">
        <v>2800</v>
      </c>
      <c r="I10" s="24">
        <v>2800</v>
      </c>
      <c r="J10" s="24">
        <v>0</v>
      </c>
      <c r="K10" s="21" t="s">
        <v>26</v>
      </c>
      <c r="L10" s="21" t="s">
        <v>36</v>
      </c>
      <c r="M10" s="25" t="s">
        <v>37</v>
      </c>
      <c r="N10" s="26" t="s">
        <v>31</v>
      </c>
      <c r="O10" s="27">
        <v>46325.19253354167</v>
      </c>
      <c r="P10" s="28" t="s">
        <v>31</v>
      </c>
    </row>
    <row r="11" ht="17" customHeight="1" spans="1:16" x14ac:dyDescent="0.25">
      <c r="A11" s="8">
        <v>3</v>
      </c>
      <c r="B11" s="9" t="s">
        <v>38</v>
      </c>
      <c r="C11" s="10">
        <v>46293.19253354167</v>
      </c>
      <c r="D11" s="11" t="s">
        <v>33</v>
      </c>
      <c r="E11" s="11" t="s">
        <v>39</v>
      </c>
      <c r="F11" s="12" t="s">
        <v>40</v>
      </c>
      <c r="G11" s="11" t="s">
        <v>41</v>
      </c>
      <c r="H11" s="13">
        <v>1500</v>
      </c>
      <c r="I11" s="14">
        <v>1500</v>
      </c>
      <c r="J11" s="14">
        <v>0</v>
      </c>
      <c r="K11" s="11" t="s">
        <v>26</v>
      </c>
      <c r="L11" s="11" t="s">
        <v>42</v>
      </c>
      <c r="M11" s="25" t="s">
        <v>37</v>
      </c>
      <c r="N11" s="29" t="s">
        <v>31</v>
      </c>
      <c r="O11" s="30">
        <v>46294.19253354167</v>
      </c>
      <c r="P11" s="17" t="s">
        <v>31</v>
      </c>
    </row>
    <row r="12" ht="18" customHeight="1" spans="1:16" x14ac:dyDescent="0.25">
      <c r="A12" s="18">
        <v>4</v>
      </c>
      <c r="B12" s="19" t="s">
        <v>43</v>
      </c>
      <c r="C12" s="20">
        <v>46287.19253354167</v>
      </c>
      <c r="D12" s="21" t="s">
        <v>44</v>
      </c>
      <c r="E12" s="21" t="s">
        <v>39</v>
      </c>
      <c r="F12" s="22" t="s">
        <v>45</v>
      </c>
      <c r="G12" s="21" t="s">
        <v>41</v>
      </c>
      <c r="H12" s="23">
        <v>2500</v>
      </c>
      <c r="I12" s="24">
        <v>2500</v>
      </c>
      <c r="J12" s="24">
        <v>0</v>
      </c>
      <c r="K12" s="21" t="s">
        <v>26</v>
      </c>
      <c r="L12" s="21" t="s">
        <v>46</v>
      </c>
      <c r="M12" s="31" t="s">
        <v>47</v>
      </c>
      <c r="N12" s="26" t="s">
        <v>31</v>
      </c>
      <c r="O12" s="21" t="s">
        <v>30</v>
      </c>
      <c r="P12" s="28" t="s">
        <v>31</v>
      </c>
    </row>
    <row r="14" ht="22" customHeight="1" spans="1:16" x14ac:dyDescent="0.25">
      <c r="A14" s="32" t="s">
        <v>48</v>
      </c>
      <c r="B14" s="32"/>
      <c r="C14" s="32"/>
      <c r="D14" s="32"/>
      <c r="E14" s="32"/>
      <c r="F14" s="32"/>
      <c r="G14" s="32"/>
      <c r="H14" s="33">
        <f>SUM(H9:H12)</f>
      </c>
      <c r="I14" s="33">
        <f>SUM(I9:I12)</f>
      </c>
      <c r="J14" s="33">
        <f>SUM(J9:J12)</f>
      </c>
      <c r="K14" s="34"/>
      <c r="L14" s="34"/>
      <c r="M14" s="34"/>
      <c r="N14" s="34"/>
      <c r="O14" s="34"/>
      <c r="P14" s="34"/>
    </row>
  </sheetData>
  <mergeCells count="7">
    <mergeCell ref="F1:O1"/>
    <mergeCell ref="F2:O2"/>
    <mergeCell ref="F3:O3"/>
    <mergeCell ref="F4:J4"/>
    <mergeCell ref="K4:O4"/>
    <mergeCell ref="F5:O5"/>
    <mergeCell ref="A14:G14"/>
  </mergeCells>
  <pageMargins left="0.4" right="0.4" top="0.6" bottom="0.6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0" customWidth="1"/>
    <col min="2" max="3" width="12" customWidth="1"/>
    <col min="4" max="4" width="18" customWidth="1"/>
    <col min="5" max="6" width="17" customWidth="1"/>
    <col min="7" max="7" width="18" customWidth="1"/>
  </cols>
  <sheetData>
    <row r="1" ht="30" customHeight="1" spans="1:7" x14ac:dyDescent="0.25">
      <c r="A1" s="35" t="s">
        <v>49</v>
      </c>
      <c r="B1" s="35"/>
      <c r="C1" s="35"/>
      <c r="D1" s="35"/>
      <c r="E1" s="35"/>
      <c r="F1" s="35"/>
      <c r="G1" s="35"/>
    </row>
    <row r="2" spans="1:7" x14ac:dyDescent="0.25">
      <c r="A2" s="36" t="s">
        <v>50</v>
      </c>
      <c r="B2" s="36"/>
      <c r="C2" s="36"/>
      <c r="D2" s="36"/>
      <c r="E2" s="36"/>
      <c r="F2" s="36"/>
      <c r="G2" s="36"/>
    </row>
    <row r="4" ht="20" customHeight="1" spans="1:7" x14ac:dyDescent="0.25">
      <c r="A4" s="6" t="s">
        <v>8</v>
      </c>
      <c r="B4" s="6" t="s">
        <v>51</v>
      </c>
      <c r="C4" s="6" t="s">
        <v>52</v>
      </c>
      <c r="D4" s="37" t="s">
        <v>53</v>
      </c>
      <c r="E4" s="37" t="s">
        <v>13</v>
      </c>
      <c r="F4" s="37" t="s">
        <v>14</v>
      </c>
      <c r="G4" s="37" t="s">
        <v>54</v>
      </c>
    </row>
    <row r="5" ht="18" customHeight="1" spans="1:7" x14ac:dyDescent="0.25">
      <c r="A5" s="38" t="s">
        <v>33</v>
      </c>
      <c r="B5" s="38">
        <v>2</v>
      </c>
      <c r="C5" s="38">
        <v>2</v>
      </c>
      <c r="D5" s="39">
        <v>4300</v>
      </c>
      <c r="E5" s="39">
        <v>4300</v>
      </c>
      <c r="F5" s="39">
        <v>0</v>
      </c>
      <c r="G5" s="39">
        <v>2800</v>
      </c>
    </row>
    <row r="6" ht="18" customHeight="1" spans="1:7" x14ac:dyDescent="0.25">
      <c r="A6" s="40" t="s">
        <v>22</v>
      </c>
      <c r="B6" s="40">
        <v>2</v>
      </c>
      <c r="C6" s="40">
        <v>1</v>
      </c>
      <c r="D6" s="41">
        <v>5200</v>
      </c>
      <c r="E6" s="41">
        <v>3200</v>
      </c>
      <c r="F6" s="41">
        <v>2000</v>
      </c>
      <c r="G6" s="41">
        <v>6400</v>
      </c>
    </row>
    <row r="7" ht="18" customHeight="1" spans="1:7" x14ac:dyDescent="0.25">
      <c r="A7" s="38" t="s">
        <v>44</v>
      </c>
      <c r="B7" s="38">
        <v>0</v>
      </c>
      <c r="C7" s="38">
        <v>1</v>
      </c>
      <c r="D7" s="39">
        <v>2500</v>
      </c>
      <c r="E7" s="39">
        <v>2500</v>
      </c>
      <c r="F7" s="39">
        <v>0</v>
      </c>
      <c r="G7" s="39">
        <v>0</v>
      </c>
    </row>
    <row r="9" ht="20" customHeight="1" spans="1:7" x14ac:dyDescent="0.25">
      <c r="A9" s="42" t="s">
        <v>55</v>
      </c>
      <c r="B9" s="34"/>
      <c r="C9" s="43">
        <f>SUM(C5:C7)</f>
      </c>
      <c r="D9" s="33">
        <f>SUM(D5:D7)</f>
      </c>
      <c r="E9" s="33">
        <f>SUM(E5:E7)</f>
      </c>
      <c r="F9" s="33">
        <f>SUM(F5:F7)</f>
      </c>
      <c r="G9" s="33">
        <f>SUM(G5:G7)</f>
      </c>
    </row>
    <row r="11" spans="1:7" x14ac:dyDescent="0.25">
      <c r="A11" s="44" t="s">
        <v>56</v>
      </c>
      <c r="B11" s="44"/>
      <c r="C11" s="44"/>
      <c r="D11" s="44"/>
      <c r="E11" s="44"/>
      <c r="F11" s="44"/>
      <c r="G11" s="44"/>
    </row>
    <row r="12" spans="1:5" x14ac:dyDescent="0.25">
      <c r="A12" s="3" t="s">
        <v>57</v>
      </c>
      <c r="B12" s="2" t="s">
        <v>0</v>
      </c>
      <c r="C12" s="2"/>
      <c r="D12" s="2"/>
      <c r="E12" s="2"/>
    </row>
    <row r="13" spans="1:5" x14ac:dyDescent="0.25">
      <c r="A13" s="3" t="s">
        <v>58</v>
      </c>
      <c r="B13" s="2" t="s">
        <v>59</v>
      </c>
      <c r="C13" s="2"/>
      <c r="D13" s="2"/>
      <c r="E13" s="2"/>
    </row>
    <row r="14" spans="1:5" x14ac:dyDescent="0.25">
      <c r="A14" s="3" t="s">
        <v>60</v>
      </c>
      <c r="B14" s="2" t="s">
        <v>61</v>
      </c>
      <c r="C14" s="2"/>
      <c r="D14" s="2"/>
      <c r="E14" s="2"/>
    </row>
    <row r="15" spans="1:5" x14ac:dyDescent="0.25">
      <c r="A15" s="3" t="s">
        <v>62</v>
      </c>
      <c r="B15" s="2" t="s">
        <v>63</v>
      </c>
      <c r="C15" s="2"/>
      <c r="D15" s="2"/>
      <c r="E15" s="2"/>
    </row>
    <row r="16" spans="1:5" x14ac:dyDescent="0.25">
      <c r="A16" s="3" t="s">
        <v>64</v>
      </c>
      <c r="B16" s="2" t="s">
        <v>65</v>
      </c>
      <c r="C16" s="2"/>
      <c r="D16" s="2"/>
      <c r="E16" s="2"/>
    </row>
    <row r="17" spans="1:5" x14ac:dyDescent="0.25">
      <c r="A17" s="3" t="s">
        <v>66</v>
      </c>
      <c r="B17" s="2" t="s">
        <v>67</v>
      </c>
      <c r="C17" s="2"/>
      <c r="D17" s="2"/>
      <c r="E17" s="2"/>
    </row>
    <row r="18" spans="1:5" x14ac:dyDescent="0.25">
      <c r="A18" s="3" t="s">
        <v>68</v>
      </c>
      <c r="B18" s="2" t="s">
        <v>69</v>
      </c>
      <c r="C18" s="2"/>
      <c r="D18" s="2"/>
      <c r="E18" s="2"/>
    </row>
    <row r="19" spans="1:5" x14ac:dyDescent="0.25">
      <c r="A19" s="3" t="s">
        <v>70</v>
      </c>
      <c r="B19" s="2" t="s">
        <v>71</v>
      </c>
      <c r="C19" s="2"/>
      <c r="D19" s="2"/>
      <c r="E19" s="2"/>
    </row>
  </sheetData>
  <autoFilter ref="A4:G4"/>
  <mergeCells count="11">
    <mergeCell ref="A1:G1"/>
    <mergeCell ref="A2:G2"/>
    <mergeCell ref="A11:G11"/>
    <mergeCell ref="B12:E12"/>
    <mergeCell ref="B13:E13"/>
    <mergeCell ref="B14:E14"/>
    <mergeCell ref="B15:E15"/>
    <mergeCell ref="B16:E16"/>
    <mergeCell ref="B17:E17"/>
    <mergeCell ref="B18:E18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Collection Register</vt:lpstr>
      <vt:lpstr>Wing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Shanti Villa CHS Ltd.</dc:creator>
  <dc:title/>
  <dc:subject/>
  <dc:description/>
  <cp:keywords/>
  <cp:category/>
  <cp:lastModifiedBy>Unknown</cp:lastModifiedBy>
  <dcterms:created xsi:type="dcterms:W3CDTF">2026-11-01T04:37:14Z</dcterms:created>
  <dcterms:modified xsi:type="dcterms:W3CDTF">2026-11-01T04:37:14Z</dcterms:modified>
</cp:coreProperties>
</file>